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026BC4B-8F49-4ADC-B313-193A59A0353C}" xr6:coauthVersionLast="45" xr6:coauthVersionMax="45" xr10:uidLastSave="{00000000-0000-0000-0000-000000000000}"/>
  <bookViews>
    <workbookView xWindow="-120" yWindow="-120" windowWidth="25440" windowHeight="15390" activeTab="1" xr2:uid="{18141E4B-4C32-48A9-8006-8F5884682699}"/>
  </bookViews>
  <sheets>
    <sheet name="Voltage Levels" sheetId="1" r:id="rId1"/>
    <sheet name="Timings" sheetId="3" r:id="rId2"/>
    <sheet name="Changelo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P4" i="3" s="1"/>
  <c r="O4" i="3"/>
  <c r="N5" i="3"/>
  <c r="O5" i="3"/>
  <c r="N6" i="3"/>
  <c r="O6" i="3"/>
  <c r="N7" i="3"/>
  <c r="O7" i="3"/>
  <c r="P7" i="3" s="1"/>
  <c r="N8" i="3"/>
  <c r="P8" i="3" s="1"/>
  <c r="O8" i="3"/>
  <c r="N9" i="3"/>
  <c r="O9" i="3"/>
  <c r="P9" i="3" s="1"/>
  <c r="N3" i="3"/>
  <c r="O3" i="3"/>
  <c r="P5" i="3"/>
  <c r="P6" i="3"/>
  <c r="P3" i="3" l="1"/>
  <c r="N4" i="1"/>
  <c r="O4" i="1"/>
  <c r="N5" i="1"/>
  <c r="O5" i="1"/>
  <c r="O3" i="1"/>
  <c r="N3" i="1"/>
  <c r="O9" i="1"/>
  <c r="N9" i="1"/>
  <c r="N6" i="1"/>
  <c r="O6" i="1"/>
  <c r="N8" i="1"/>
  <c r="N7" i="1"/>
  <c r="O8" i="1"/>
  <c r="O7" i="1"/>
  <c r="P6" i="1" l="1"/>
  <c r="P7" i="1"/>
  <c r="P8" i="1"/>
  <c r="P9" i="1"/>
  <c r="P5" i="1"/>
  <c r="P4" i="1"/>
  <c r="P3" i="1"/>
</calcChain>
</file>

<file path=xl/sharedStrings.xml><?xml version="1.0" encoding="utf-8"?>
<sst xmlns="http://schemas.openxmlformats.org/spreadsheetml/2006/main" count="43" uniqueCount="33">
  <si>
    <t>Net Name</t>
  </si>
  <si>
    <t>Output</t>
  </si>
  <si>
    <t>Input</t>
  </si>
  <si>
    <t>Pin</t>
  </si>
  <si>
    <t>High
Margin</t>
  </si>
  <si>
    <t>Low
Margin</t>
  </si>
  <si>
    <t>Interface
Acceptability</t>
  </si>
  <si>
    <t>Manufacturers
P/N</t>
  </si>
  <si>
    <t>Revision</t>
  </si>
  <si>
    <t>Author</t>
  </si>
  <si>
    <t>Date</t>
  </si>
  <si>
    <t>Notes</t>
  </si>
  <si>
    <t>Craig Comberbach</t>
  </si>
  <si>
    <t>Initial Release</t>
  </si>
  <si>
    <t>VOH(min)</t>
  </si>
  <si>
    <t>VOH(max)
or VDD</t>
  </si>
  <si>
    <t>VOL(min)
or VSS</t>
  </si>
  <si>
    <t>VOL(max)</t>
  </si>
  <si>
    <t>VIL(min) or
Vabsolute(min)</t>
  </si>
  <si>
    <t>VIL(max)</t>
  </si>
  <si>
    <t>VIH(min)</t>
  </si>
  <si>
    <t>VIH(max) or
Vabsolute(max)</t>
  </si>
  <si>
    <t>Fall Time Max</t>
  </si>
  <si>
    <t>Rise Time Max</t>
  </si>
  <si>
    <t>Setup Min</t>
  </si>
  <si>
    <t>Setup Margin</t>
  </si>
  <si>
    <t>Hold
Margin</t>
  </si>
  <si>
    <t>Delay Min</t>
  </si>
  <si>
    <t>Delay Max</t>
  </si>
  <si>
    <t>Hold Min</t>
  </si>
  <si>
    <t>Clock</t>
  </si>
  <si>
    <t>Low Time</t>
  </si>
  <si>
    <t>High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</si>
</sst>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\V"/>
    <numFmt numFmtId="166" formatCode="[$-1009]mmmm\ d\,\ yyyy;@"/>
    <numFmt numFmtId="167" formatCode="0.0\n\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66" fontId="0" fillId="0" borderId="1" xfId="0" applyNumberFormat="1" applyFont="1" applyBorder="1" applyAlignment="1">
      <alignment horizontal="center"/>
    </xf>
    <xf numFmtId="166" fontId="0" fillId="0" borderId="1" xfId="0" applyNumberFormat="1" applyFont="1" applyBorder="1"/>
    <xf numFmtId="0" fontId="3" fillId="0" borderId="1" xfId="2" applyFont="1" applyBorder="1" applyAlignment="1">
      <alignment horizontal="center" vertical="center"/>
    </xf>
    <xf numFmtId="14" fontId="3" fillId="0" borderId="1" xfId="2" applyNumberFormat="1" applyFont="1" applyBorder="1" applyAlignment="1">
      <alignment horizontal="center" vertical="center"/>
    </xf>
    <xf numFmtId="166" fontId="3" fillId="0" borderId="1" xfId="2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165" fontId="0" fillId="0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7" fontId="0" fillId="0" borderId="1" xfId="0" applyNumberFormat="1" applyFill="1" applyBorder="1" applyAlignment="1">
      <alignment horizontal="center" vertical="center" wrapText="1"/>
    </xf>
  </cellXfs>
  <cellStyles count="3">
    <cellStyle name="Normal" xfId="0" builtinId="0"/>
    <cellStyle name="Normal 4" xfId="2" xr:uid="{EDE2C7BC-6363-4BCC-91C3-B55D5C6335E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25624</xdr:rowOff>
    </xdr:from>
    <xdr:to>
      <xdr:col>15</xdr:col>
      <xdr:colOff>536201</xdr:colOff>
      <xdr:row>62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98B874-489C-46E1-8B9C-B51816056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6624"/>
          <a:ext cx="11782425" cy="8584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045C-1941-4D23-B446-C403C6AA3A91}">
  <dimension ref="A1:Q9"/>
  <sheetViews>
    <sheetView zoomScale="85" zoomScaleNormal="85" workbookViewId="0">
      <selection activeCell="I15" sqref="I15"/>
    </sheetView>
  </sheetViews>
  <sheetFormatPr defaultRowHeight="15" x14ac:dyDescent="0.25"/>
  <cols>
    <col min="1" max="1" width="13.7109375" style="1" bestFit="1" customWidth="1"/>
    <col min="2" max="2" width="6" style="1" bestFit="1" customWidth="1"/>
    <col min="3" max="3" width="19.7109375" style="1" bestFit="1" customWidth="1"/>
    <col min="4" max="4" width="9.85546875" style="1" bestFit="1" customWidth="1"/>
    <col min="5" max="5" width="10.140625" style="1" bestFit="1" customWidth="1"/>
    <col min="6" max="6" width="9.42578125" style="1" bestFit="1" customWidth="1"/>
    <col min="7" max="7" width="9.7109375" style="1" bestFit="1" customWidth="1"/>
    <col min="8" max="8" width="15.5703125" style="1" bestFit="1" customWidth="1"/>
    <col min="9" max="9" width="8.85546875" style="1" bestFit="1" customWidth="1"/>
    <col min="10" max="10" width="9.28515625" style="1" bestFit="1" customWidth="1"/>
    <col min="11" max="11" width="15.7109375" style="1" bestFit="1" customWidth="1"/>
    <col min="12" max="12" width="5.85546875" style="1" bestFit="1" customWidth="1"/>
    <col min="13" max="13" width="19.7109375" style="1" bestFit="1" customWidth="1"/>
    <col min="14" max="15" width="7.5703125" style="1" bestFit="1" customWidth="1"/>
    <col min="16" max="16" width="12.85546875" style="1" bestFit="1" customWidth="1"/>
    <col min="17" max="17" width="12.140625" style="1" customWidth="1"/>
    <col min="18" max="16384" width="9.140625" style="1"/>
  </cols>
  <sheetData>
    <row r="1" spans="1:17" ht="30" x14ac:dyDescent="0.25">
      <c r="A1" s="15" t="s">
        <v>0</v>
      </c>
      <c r="B1" s="4" t="s">
        <v>3</v>
      </c>
      <c r="C1" s="4" t="s">
        <v>7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3</v>
      </c>
      <c r="M1" s="4" t="s">
        <v>7</v>
      </c>
      <c r="N1" s="15" t="s">
        <v>4</v>
      </c>
      <c r="O1" s="15" t="s">
        <v>5</v>
      </c>
      <c r="P1" s="15" t="s">
        <v>6</v>
      </c>
      <c r="Q1" s="2"/>
    </row>
    <row r="2" spans="1:17" ht="15" customHeight="1" x14ac:dyDescent="0.25">
      <c r="A2" s="15"/>
      <c r="B2" s="16" t="s">
        <v>1</v>
      </c>
      <c r="C2" s="17"/>
      <c r="D2" s="17"/>
      <c r="E2" s="17"/>
      <c r="F2" s="17"/>
      <c r="G2" s="18"/>
      <c r="H2" s="16" t="s">
        <v>2</v>
      </c>
      <c r="I2" s="17"/>
      <c r="J2" s="17"/>
      <c r="K2" s="17"/>
      <c r="L2" s="17"/>
      <c r="M2" s="18"/>
      <c r="N2" s="15"/>
      <c r="O2" s="15"/>
      <c r="P2" s="15"/>
      <c r="Q2" s="2"/>
    </row>
    <row r="3" spans="1:17" x14ac:dyDescent="0.25">
      <c r="A3" s="12"/>
      <c r="B3" s="13"/>
      <c r="C3" s="13"/>
      <c r="D3" s="14"/>
      <c r="E3" s="14"/>
      <c r="F3" s="14"/>
      <c r="G3" s="14"/>
      <c r="H3" s="14"/>
      <c r="I3" s="14"/>
      <c r="J3" s="14"/>
      <c r="K3" s="14"/>
      <c r="L3" s="13"/>
      <c r="M3" s="13"/>
      <c r="N3" s="5" t="str">
        <f t="shared" ref="N3:N9" si="0">IFERROR((D3-J3)/E3,"N/A")</f>
        <v>N/A</v>
      </c>
      <c r="O3" s="5" t="str">
        <f t="shared" ref="O3:O9" si="1">IFERROR((I3-G3)/E3,"N/A")</f>
        <v>N/A</v>
      </c>
      <c r="P3" s="4" t="str">
        <f t="shared" ref="P3:P9" si="2">IF(OR(E3&gt;K3,F3&lt;H3,N3&lt;0,O3&lt;0,N3="N/A",O3="N/A"),"Illegal Design","Valid Design")</f>
        <v>Illegal Design</v>
      </c>
      <c r="Q3" s="3"/>
    </row>
    <row r="4" spans="1:17" x14ac:dyDescent="0.25">
      <c r="A4" s="12"/>
      <c r="B4" s="13"/>
      <c r="C4" s="13"/>
      <c r="D4" s="14"/>
      <c r="E4" s="14"/>
      <c r="F4" s="14"/>
      <c r="G4" s="14"/>
      <c r="H4" s="14"/>
      <c r="I4" s="14"/>
      <c r="J4" s="14"/>
      <c r="K4" s="14"/>
      <c r="L4" s="13"/>
      <c r="M4" s="13"/>
      <c r="N4" s="5" t="str">
        <f t="shared" si="0"/>
        <v>N/A</v>
      </c>
      <c r="O4" s="5" t="str">
        <f t="shared" si="1"/>
        <v>N/A</v>
      </c>
      <c r="P4" s="4" t="str">
        <f t="shared" si="2"/>
        <v>Illegal Design</v>
      </c>
      <c r="Q4" s="3"/>
    </row>
    <row r="5" spans="1:17" x14ac:dyDescent="0.25">
      <c r="A5" s="12"/>
      <c r="B5" s="13"/>
      <c r="C5" s="13"/>
      <c r="D5" s="14"/>
      <c r="E5" s="14"/>
      <c r="F5" s="14"/>
      <c r="G5" s="14"/>
      <c r="H5" s="14"/>
      <c r="I5" s="14"/>
      <c r="J5" s="14"/>
      <c r="K5" s="14"/>
      <c r="L5" s="13"/>
      <c r="M5" s="13"/>
      <c r="N5" s="5" t="str">
        <f t="shared" si="0"/>
        <v>N/A</v>
      </c>
      <c r="O5" s="5" t="str">
        <f t="shared" si="1"/>
        <v>N/A</v>
      </c>
      <c r="P5" s="4" t="str">
        <f t="shared" si="2"/>
        <v>Illegal Design</v>
      </c>
      <c r="Q5" s="3"/>
    </row>
    <row r="6" spans="1:17" x14ac:dyDescent="0.25">
      <c r="A6" s="12"/>
      <c r="B6" s="13"/>
      <c r="C6" s="13"/>
      <c r="D6" s="14"/>
      <c r="E6" s="14"/>
      <c r="F6" s="14"/>
      <c r="G6" s="14"/>
      <c r="H6" s="14"/>
      <c r="I6" s="14"/>
      <c r="J6" s="14"/>
      <c r="K6" s="14"/>
      <c r="L6" s="13"/>
      <c r="M6" s="13"/>
      <c r="N6" s="5" t="str">
        <f t="shared" si="0"/>
        <v>N/A</v>
      </c>
      <c r="O6" s="5" t="str">
        <f t="shared" si="1"/>
        <v>N/A</v>
      </c>
      <c r="P6" s="4" t="str">
        <f t="shared" si="2"/>
        <v>Illegal Design</v>
      </c>
    </row>
    <row r="7" spans="1:17" x14ac:dyDescent="0.25">
      <c r="A7" s="13"/>
      <c r="B7" s="13"/>
      <c r="C7" s="13"/>
      <c r="D7" s="14"/>
      <c r="E7" s="14"/>
      <c r="F7" s="14"/>
      <c r="G7" s="14"/>
      <c r="H7" s="14"/>
      <c r="I7" s="14"/>
      <c r="J7" s="14"/>
      <c r="K7" s="14"/>
      <c r="L7" s="13"/>
      <c r="M7" s="13"/>
      <c r="N7" s="5" t="str">
        <f t="shared" si="0"/>
        <v>N/A</v>
      </c>
      <c r="O7" s="5" t="str">
        <f t="shared" si="1"/>
        <v>N/A</v>
      </c>
      <c r="P7" s="4" t="str">
        <f t="shared" si="2"/>
        <v>Illegal Design</v>
      </c>
    </row>
    <row r="8" spans="1:17" x14ac:dyDescent="0.25">
      <c r="A8" s="12"/>
      <c r="B8" s="13"/>
      <c r="C8" s="13"/>
      <c r="D8" s="14"/>
      <c r="E8" s="14"/>
      <c r="F8" s="14"/>
      <c r="G8" s="14"/>
      <c r="H8" s="14"/>
      <c r="I8" s="14"/>
      <c r="J8" s="14"/>
      <c r="K8" s="14"/>
      <c r="L8" s="13"/>
      <c r="M8" s="13"/>
      <c r="N8" s="5" t="str">
        <f t="shared" si="0"/>
        <v>N/A</v>
      </c>
      <c r="O8" s="5" t="str">
        <f t="shared" si="1"/>
        <v>N/A</v>
      </c>
      <c r="P8" s="4" t="str">
        <f t="shared" si="2"/>
        <v>Illegal Design</v>
      </c>
    </row>
    <row r="9" spans="1:17" x14ac:dyDescent="0.25">
      <c r="A9" s="12"/>
      <c r="B9" s="13"/>
      <c r="C9" s="13"/>
      <c r="D9" s="14"/>
      <c r="E9" s="14"/>
      <c r="F9" s="14"/>
      <c r="G9" s="14"/>
      <c r="H9" s="14"/>
      <c r="I9" s="14"/>
      <c r="J9" s="14"/>
      <c r="K9" s="14"/>
      <c r="L9" s="13"/>
      <c r="M9" s="13"/>
      <c r="N9" s="5" t="str">
        <f t="shared" si="0"/>
        <v>N/A</v>
      </c>
      <c r="O9" s="5" t="str">
        <f t="shared" si="1"/>
        <v>N/A</v>
      </c>
      <c r="P9" s="4" t="str">
        <f t="shared" si="2"/>
        <v>Illegal Design</v>
      </c>
    </row>
  </sheetData>
  <sortState xmlns:xlrd2="http://schemas.microsoft.com/office/spreadsheetml/2017/richdata2" ref="A3:P9">
    <sortCondition ref="M3:M9"/>
  </sortState>
  <mergeCells count="6">
    <mergeCell ref="P1:P2"/>
    <mergeCell ref="B2:G2"/>
    <mergeCell ref="H2:M2"/>
    <mergeCell ref="A1:A2"/>
    <mergeCell ref="O1:O2"/>
    <mergeCell ref="N1:N2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2087-54C5-42DB-A732-FB3E647E8280}">
  <dimension ref="A1:P9"/>
  <sheetViews>
    <sheetView tabSelected="1" workbookViewId="0">
      <selection activeCell="M6" sqref="M6"/>
    </sheetView>
  </sheetViews>
  <sheetFormatPr defaultRowHeight="15" x14ac:dyDescent="0.25"/>
  <cols>
    <col min="1" max="1" width="10" bestFit="1" customWidth="1"/>
    <col min="2" max="2" width="3.85546875" bestFit="1" customWidth="1"/>
    <col min="3" max="3" width="14" bestFit="1" customWidth="1"/>
    <col min="4" max="5" width="6" bestFit="1" customWidth="1"/>
    <col min="6" max="6" width="9.5703125" bestFit="1" customWidth="1"/>
    <col min="7" max="7" width="9" bestFit="1" customWidth="1"/>
    <col min="8" max="8" width="9.42578125" bestFit="1" customWidth="1"/>
    <col min="9" max="9" width="9.85546875" bestFit="1" customWidth="1"/>
    <col min="10" max="10" width="10" bestFit="1" customWidth="1"/>
    <col min="11" max="11" width="5.5703125" bestFit="1" customWidth="1"/>
    <col min="12" max="12" width="3.85546875" bestFit="1" customWidth="1"/>
    <col min="13" max="13" width="14" bestFit="1" customWidth="1"/>
    <col min="14" max="14" width="10.42578125" bestFit="1" customWidth="1"/>
    <col min="15" max="15" width="11.42578125" bestFit="1" customWidth="1"/>
    <col min="16" max="16" width="12.85546875" bestFit="1" customWidth="1"/>
  </cols>
  <sheetData>
    <row r="1" spans="1:16" ht="30" x14ac:dyDescent="0.25">
      <c r="A1" s="15" t="s">
        <v>0</v>
      </c>
      <c r="B1" s="11" t="s">
        <v>3</v>
      </c>
      <c r="C1" s="11" t="s">
        <v>7</v>
      </c>
      <c r="D1" s="11" t="s">
        <v>27</v>
      </c>
      <c r="E1" s="11" t="s">
        <v>28</v>
      </c>
      <c r="F1" s="11" t="s">
        <v>23</v>
      </c>
      <c r="G1" s="11" t="s">
        <v>22</v>
      </c>
      <c r="H1" s="11" t="s">
        <v>31</v>
      </c>
      <c r="I1" s="11" t="s">
        <v>32</v>
      </c>
      <c r="J1" s="11" t="s">
        <v>24</v>
      </c>
      <c r="K1" s="11" t="s">
        <v>29</v>
      </c>
      <c r="L1" s="11" t="s">
        <v>3</v>
      </c>
      <c r="M1" s="11" t="s">
        <v>7</v>
      </c>
      <c r="N1" s="15" t="s">
        <v>25</v>
      </c>
      <c r="O1" s="15" t="s">
        <v>26</v>
      </c>
      <c r="P1" s="15" t="s">
        <v>6</v>
      </c>
    </row>
    <row r="2" spans="1:16" x14ac:dyDescent="0.25">
      <c r="A2" s="15"/>
      <c r="B2" s="16" t="s">
        <v>1</v>
      </c>
      <c r="C2" s="17"/>
      <c r="D2" s="17"/>
      <c r="E2" s="17"/>
      <c r="F2" s="17"/>
      <c r="G2" s="17"/>
      <c r="H2" s="15" t="s">
        <v>30</v>
      </c>
      <c r="I2" s="15"/>
      <c r="J2" s="16" t="s">
        <v>2</v>
      </c>
      <c r="K2" s="17"/>
      <c r="L2" s="17"/>
      <c r="M2" s="18"/>
      <c r="N2" s="15"/>
      <c r="O2" s="15"/>
      <c r="P2" s="15"/>
    </row>
    <row r="3" spans="1:16" x14ac:dyDescent="0.25">
      <c r="A3" s="12"/>
      <c r="B3" s="13"/>
      <c r="C3" s="13"/>
      <c r="D3" s="19">
        <v>0</v>
      </c>
      <c r="E3" s="19">
        <v>7</v>
      </c>
      <c r="F3" s="19">
        <v>3</v>
      </c>
      <c r="G3" s="19">
        <v>3</v>
      </c>
      <c r="H3" s="19">
        <v>17</v>
      </c>
      <c r="I3" s="19">
        <v>17</v>
      </c>
      <c r="J3" s="19">
        <v>3</v>
      </c>
      <c r="K3" s="19">
        <v>5</v>
      </c>
      <c r="L3" s="13"/>
      <c r="M3" s="13"/>
      <c r="N3" s="5" t="str">
        <f>IFERROR(ROUND((H3-E3-J3)*100/J3,0)&amp;"% ("&amp;H3-E3-J3&amp;"ns)","N/A")</f>
        <v>233% (7ns)</v>
      </c>
      <c r="O3" s="5" t="str">
        <f>IFERROR(ROUND((I3-K3-D3)*100/K3,0)&amp;"%"&amp;" ("&amp;I3-K3-D3&amp;"ns)","N/A")</f>
        <v>240% (12ns)</v>
      </c>
      <c r="P3" s="11" t="str">
        <f>IF(OR(N3&lt;0,O3&lt;0,N3="N/A",O3="N/A"),"Illegal Design","Valid Design")</f>
        <v>Valid Design</v>
      </c>
    </row>
    <row r="4" spans="1:16" x14ac:dyDescent="0.25">
      <c r="A4" s="12"/>
      <c r="B4" s="13"/>
      <c r="C4" s="13"/>
      <c r="D4" s="19"/>
      <c r="E4" s="19"/>
      <c r="F4" s="19"/>
      <c r="G4" s="19"/>
      <c r="H4" s="19"/>
      <c r="I4" s="19"/>
      <c r="J4" s="19"/>
      <c r="K4" s="19"/>
      <c r="L4" s="13"/>
      <c r="M4" s="13"/>
      <c r="N4" s="5" t="str">
        <f t="shared" ref="N4:N9" si="0">IFERROR(ROUND((H4-E4-J4)*100/J4,0)&amp;"% ("&amp;H4-E4-J4&amp;"ns)","N/A")</f>
        <v>N/A</v>
      </c>
      <c r="O4" s="5" t="str">
        <f t="shared" ref="O4:O9" si="1">IFERROR(ROUND((I4-K4-D4)*100/K4,0)&amp;"%"&amp;" ("&amp;I4-K4-D4&amp;"ns)","N/A")</f>
        <v>N/A</v>
      </c>
      <c r="P4" s="11" t="str">
        <f t="shared" ref="P4:P9" si="2">IF(OR(N4&lt;0,O4&lt;0,N4="N/A",O4="N/A"),"Illegal Design","Valid Design")</f>
        <v>Illegal Design</v>
      </c>
    </row>
    <row r="5" spans="1:16" x14ac:dyDescent="0.25">
      <c r="A5" s="12"/>
      <c r="B5" s="13"/>
      <c r="C5" s="13"/>
      <c r="D5" s="19"/>
      <c r="E5" s="19"/>
      <c r="F5" s="19"/>
      <c r="G5" s="19"/>
      <c r="H5" s="19"/>
      <c r="I5" s="19"/>
      <c r="J5" s="19"/>
      <c r="K5" s="19"/>
      <c r="L5" s="13"/>
      <c r="M5" s="13"/>
      <c r="N5" s="5" t="str">
        <f t="shared" si="0"/>
        <v>N/A</v>
      </c>
      <c r="O5" s="5" t="str">
        <f t="shared" si="1"/>
        <v>N/A</v>
      </c>
      <c r="P5" s="11" t="str">
        <f t="shared" si="2"/>
        <v>Illegal Design</v>
      </c>
    </row>
    <row r="6" spans="1:16" x14ac:dyDescent="0.25">
      <c r="A6" s="12"/>
      <c r="B6" s="13"/>
      <c r="C6" s="13"/>
      <c r="D6" s="19"/>
      <c r="E6" s="19"/>
      <c r="F6" s="19"/>
      <c r="G6" s="19"/>
      <c r="H6" s="19"/>
      <c r="I6" s="19"/>
      <c r="J6" s="19"/>
      <c r="K6" s="19"/>
      <c r="L6" s="13"/>
      <c r="M6" s="13"/>
      <c r="N6" s="5" t="str">
        <f t="shared" si="0"/>
        <v>N/A</v>
      </c>
      <c r="O6" s="5" t="str">
        <f t="shared" si="1"/>
        <v>N/A</v>
      </c>
      <c r="P6" s="11" t="str">
        <f t="shared" si="2"/>
        <v>Illegal Design</v>
      </c>
    </row>
    <row r="7" spans="1:16" x14ac:dyDescent="0.25">
      <c r="A7" s="13"/>
      <c r="B7" s="13"/>
      <c r="C7" s="13"/>
      <c r="D7" s="19"/>
      <c r="E7" s="19"/>
      <c r="F7" s="19"/>
      <c r="G7" s="19"/>
      <c r="H7" s="19"/>
      <c r="I7" s="19"/>
      <c r="J7" s="19"/>
      <c r="K7" s="19"/>
      <c r="L7" s="13"/>
      <c r="M7" s="13"/>
      <c r="N7" s="5" t="str">
        <f t="shared" si="0"/>
        <v>N/A</v>
      </c>
      <c r="O7" s="5" t="str">
        <f t="shared" si="1"/>
        <v>N/A</v>
      </c>
      <c r="P7" s="11" t="str">
        <f t="shared" si="2"/>
        <v>Illegal Design</v>
      </c>
    </row>
    <row r="8" spans="1:16" x14ac:dyDescent="0.25">
      <c r="A8" s="12"/>
      <c r="B8" s="13"/>
      <c r="C8" s="13"/>
      <c r="D8" s="19"/>
      <c r="E8" s="19"/>
      <c r="F8" s="19"/>
      <c r="G8" s="19"/>
      <c r="H8" s="19"/>
      <c r="I8" s="19"/>
      <c r="J8" s="19"/>
      <c r="K8" s="19"/>
      <c r="L8" s="13"/>
      <c r="M8" s="13"/>
      <c r="N8" s="5" t="str">
        <f t="shared" si="0"/>
        <v>N/A</v>
      </c>
      <c r="O8" s="5" t="str">
        <f t="shared" si="1"/>
        <v>N/A</v>
      </c>
      <c r="P8" s="11" t="str">
        <f t="shared" si="2"/>
        <v>Illegal Design</v>
      </c>
    </row>
    <row r="9" spans="1:16" x14ac:dyDescent="0.25">
      <c r="A9" s="12"/>
      <c r="B9" s="13"/>
      <c r="C9" s="13"/>
      <c r="D9" s="19"/>
      <c r="E9" s="19"/>
      <c r="F9" s="19"/>
      <c r="G9" s="19"/>
      <c r="H9" s="19"/>
      <c r="I9" s="19"/>
      <c r="J9" s="19"/>
      <c r="K9" s="19"/>
      <c r="L9" s="13"/>
      <c r="M9" s="13"/>
      <c r="N9" s="5" t="str">
        <f t="shared" si="0"/>
        <v>N/A</v>
      </c>
      <c r="O9" s="5" t="str">
        <f t="shared" si="1"/>
        <v>N/A</v>
      </c>
      <c r="P9" s="11" t="str">
        <f t="shared" si="2"/>
        <v>Illegal Design</v>
      </c>
    </row>
  </sheetData>
  <mergeCells count="7">
    <mergeCell ref="A1:A2"/>
    <mergeCell ref="N1:N2"/>
    <mergeCell ref="O1:O2"/>
    <mergeCell ref="P1:P2"/>
    <mergeCell ref="J2:M2"/>
    <mergeCell ref="B2:G2"/>
    <mergeCell ref="H2:I2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1072-CC52-466B-B0B0-1DE4119BD1B9}">
  <dimension ref="A1:D2"/>
  <sheetViews>
    <sheetView workbookViewId="0">
      <selection activeCell="D8" sqref="D8"/>
    </sheetView>
  </sheetViews>
  <sheetFormatPr defaultRowHeight="15" x14ac:dyDescent="0.25"/>
  <cols>
    <col min="1" max="1" width="8.5703125" bestFit="1" customWidth="1"/>
    <col min="2" max="2" width="17.28515625" bestFit="1" customWidth="1"/>
    <col min="3" max="3" width="10.42578125" bestFit="1" customWidth="1"/>
    <col min="4" max="4" width="69.42578125" customWidth="1"/>
  </cols>
  <sheetData>
    <row r="1" spans="1:4" x14ac:dyDescent="0.25">
      <c r="A1" s="6" t="s">
        <v>8</v>
      </c>
      <c r="B1" s="6" t="s">
        <v>9</v>
      </c>
      <c r="C1" s="6" t="s">
        <v>10</v>
      </c>
      <c r="D1" s="7" t="s">
        <v>11</v>
      </c>
    </row>
    <row r="2" spans="1:4" x14ac:dyDescent="0.25">
      <c r="A2" s="8">
        <v>0</v>
      </c>
      <c r="B2" s="8" t="s">
        <v>12</v>
      </c>
      <c r="C2" s="9">
        <v>43971</v>
      </c>
      <c r="D2" s="10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Voltage Levels</vt:lpstr>
      <vt:lpstr>Timings</vt:lpstr>
      <vt:lpstr>Changelog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2020-11-24T11:43:42Z</dcterms:created>
  <dcterms:modified xsi:type="dcterms:W3CDTF">2020-12-09T03:45:37Z</dcterms:modified>
</cp:coreProperties>
</file>